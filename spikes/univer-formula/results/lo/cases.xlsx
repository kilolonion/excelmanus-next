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Cases" state="visible" r:id="rId5"/>
  </sheets>
  <calcPr calcId="171027"/>
</workbook>
</file>

<file path=xl/sharedStrings.xml><?xml version="1.0" encoding="utf-8"?>
<sst xmlns="http://schemas.openxmlformats.org/spreadsheetml/2006/main" count="13" uniqueCount="6">
  <si>
    <t>apple</t>
  </si>
  <si>
    <t>x</t>
  </si>
  <si>
    <t>y</t>
  </si>
  <si>
    <t>z</t>
  </si>
  <si>
    <t>banana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</si>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</sst>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x14ac:dyDescent="0.25">
      <c r="A1">
        <v>1</v>
      </c>
      <c r="B1">
        <v>10</v>
      </c>
      <c r="C1" t="s">
        <v>0</v>
      </c>
      <c r="G1" t="s">
        <v>1</v>
      </c>
      <c r="H1" t="s">
        <v>2</v>
      </c>
      <c r="I1" t="s">
        <v>3</v>
      </c>
      <c r="K1">
        <v>-100</v>
      </c>
    </row>
    <row r="2" spans="1:11" x14ac:dyDescent="0.25">
      <c r="A2">
        <v>2</v>
      </c>
      <c r="B2">
        <v>20</v>
      </c>
      <c r="C2" t="s">
        <v>4</v>
      </c>
      <c r="G2">
        <v>1</v>
      </c>
      <c r="H2">
        <v>2</v>
      </c>
      <c r="I2">
        <v>3</v>
      </c>
      <c r="K2">
        <v>60</v>
      </c>
    </row>
    <row r="3" spans="1:11" x14ac:dyDescent="0.25">
      <c r="A3">
        <v>3</v>
      </c>
      <c r="B3">
        <v>30</v>
      </c>
      <c r="C3" t="s">
        <v>5</v>
      </c>
      <c r="K3">
        <v>60</v>
      </c>
    </row>
    <row r="4" spans="1:3" x14ac:dyDescent="0.25">
      <c r="A4">
        <v>4</v>
      </c>
      <c r="B4">
        <v>40</v>
      </c>
      <c r="C4" t="s">
        <v>0</v>
      </c>
    </row>
    <row r="5" spans="1:3" x14ac:dyDescent="0.25">
      <c r="A5">
        <v>5</v>
      </c>
      <c r="B5">
        <v>50</v>
      </c>
      <c r="C5" t="s">
        <v>4</v>
      </c>
    </row>
    <row r="6" spans="1:3" x14ac:dyDescent="0.25">
      <c r="A6">
        <v>6</v>
      </c>
      <c r="B6">
        <v>60</v>
      </c>
      <c r="C6" t="s">
        <v>5</v>
      </c>
    </row>
    <row r="7" spans="1:3" x14ac:dyDescent="0.25">
      <c r="A7">
        <v>7</v>
      </c>
      <c r="B7">
        <v>70</v>
      </c>
      <c r="C7" t="s">
        <v>0</v>
      </c>
    </row>
    <row r="8" spans="1:3" x14ac:dyDescent="0.25">
      <c r="A8">
        <v>8</v>
      </c>
      <c r="B8">
        <v>80</v>
      </c>
      <c r="C8" t="s">
        <v>4</v>
      </c>
    </row>
    <row r="9" spans="1:3" x14ac:dyDescent="0.25">
      <c r="A9">
        <v>9</v>
      </c>
      <c r="B9">
        <v>90</v>
      </c>
      <c r="C9" t="s">
        <v>5</v>
      </c>
    </row>
    <row r="10" spans="1:3" x14ac:dyDescent="0.25">
      <c r="A10">
        <v>10</v>
      </c>
      <c r="B10">
        <v>100</v>
      </c>
      <c r="C1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4"/>
  <sheetFormatPr defaultRowHeight="15" outlineLevelRow="0" outlineLevelCol="0" x14ac:dyDescent="55"/>
  <sheetData>
    <row r="1" spans="1:1" x14ac:dyDescent="0.25">
      <c r="A1">
        <f>SUM(Data!A1:A10)</f>
      </c>
    </row>
    <row r="2" spans="1:1" x14ac:dyDescent="0.25">
      <c r="A2">
        <f>SUMIF(Data!C1:C10,"apple",Data!B1:B10)</f>
      </c>
    </row>
    <row r="3" spans="1:1" x14ac:dyDescent="0.25">
      <c r="A3">
        <f>SUMIFS(Data!B1:B10,Data!C1:C10,"banana",Data!A1:A10,"&gt;2")</f>
      </c>
    </row>
    <row r="4" spans="1:1" x14ac:dyDescent="0.25">
      <c r="A4">
        <f>SUMPRODUCT(Data!A1:A10,Data!B1:B10)</f>
      </c>
    </row>
    <row r="5" spans="1:1" x14ac:dyDescent="0.25">
      <c r="A5">
        <f>AVERAGE(Data!A1:A10)</f>
      </c>
    </row>
    <row r="6" spans="1:1" x14ac:dyDescent="0.25">
      <c r="A6">
        <f>AVERAGEIF(Data!C1:C10,"cherry",Data!B1:B10)</f>
      </c>
    </row>
    <row r="7" spans="1:1" x14ac:dyDescent="0.25">
      <c r="A7">
        <f>AVERAGEIFS(Data!B1:B10,Data!C1:C10,"apple",Data!A1:A10,"&lt;=7")</f>
      </c>
    </row>
    <row r="8" spans="1:1" x14ac:dyDescent="0.25">
      <c r="A8">
        <f>COUNT(Data!A1:A10,Data!C1:C3)</f>
      </c>
    </row>
    <row r="9" spans="1:1" x14ac:dyDescent="0.25">
      <c r="A9">
        <f>COUNTA(Data!A1:C10)</f>
      </c>
    </row>
    <row r="10" spans="1:1" x14ac:dyDescent="0.25">
      <c r="A10">
        <f>COUNTBLANK(Data!E1:E10)</f>
      </c>
    </row>
    <row r="11" spans="1:1" x14ac:dyDescent="0.25">
      <c r="A11">
        <f>COUNTIF(Data!C1:C10,"apple")</f>
      </c>
    </row>
    <row r="12" spans="1:1" x14ac:dyDescent="0.25">
      <c r="A12">
        <f>COUNTIFS(Data!C1:C10,"banana",Data!A1:A10,"&gt;=5")</f>
      </c>
    </row>
    <row r="13" spans="1:1" x14ac:dyDescent="0.25">
      <c r="A13">
        <f>MAX(Data!A1:A10)</f>
      </c>
    </row>
    <row r="14" spans="1:1" x14ac:dyDescent="0.25">
      <c r="A14">
        <f>_xlfn.MAXIFS(Data!B1:B10,Data!C1:C10,"banana")</f>
      </c>
    </row>
    <row r="15" spans="1:1" x14ac:dyDescent="0.25">
      <c r="A15">
        <f>MIN(Data!B1:B10)</f>
      </c>
    </row>
    <row r="16" spans="1:1" x14ac:dyDescent="0.25">
      <c r="A16">
        <f>_xlfn.MINIFS(Data!B1:B10,Data!C1:C10,"cherry")</f>
      </c>
    </row>
    <row r="17" spans="1:1" x14ac:dyDescent="0.25">
      <c r="A17">
        <f>ROUND(2.567,2)</f>
      </c>
    </row>
    <row r="18" spans="1:1" x14ac:dyDescent="0.25">
      <c r="A18">
        <f>ROUNDUP(2.561,2)</f>
      </c>
    </row>
    <row r="19" spans="1:1" x14ac:dyDescent="0.25">
      <c r="A19">
        <f>ROUNDDOWN(2.569,2)</f>
      </c>
    </row>
    <row r="20" spans="1:1" x14ac:dyDescent="0.25">
      <c r="A20">
        <f>INT(-2.5)</f>
      </c>
    </row>
    <row r="21" spans="1:1" x14ac:dyDescent="0.25">
      <c r="A21">
        <f>MOD(-7,3)</f>
      </c>
    </row>
    <row r="22" spans="1:1" x14ac:dyDescent="0.25">
      <c r="A22">
        <f>ABS(-3.5)</f>
      </c>
    </row>
    <row r="23" spans="1:1" x14ac:dyDescent="0.25">
      <c r="A23">
        <f>CEILING(2.1,0.5)</f>
      </c>
    </row>
    <row r="24" spans="1:1" x14ac:dyDescent="0.25">
      <c r="A24">
        <f>FLOOR(2.9,0.5)</f>
      </c>
    </row>
    <row r="25" spans="1:1" x14ac:dyDescent="0.25">
      <c r="A25">
        <f>POWER(2,10)</f>
      </c>
    </row>
    <row r="26" spans="1:1" x14ac:dyDescent="0.25">
      <c r="A26">
        <f>SQRT(144)</f>
      </c>
    </row>
    <row r="27" spans="1:1" x14ac:dyDescent="0.25">
      <c r="A27">
        <f>PRODUCT(Data!A1:A5)</f>
      </c>
    </row>
    <row r="28" spans="1:1" x14ac:dyDescent="0.25">
      <c r="A28">
        <f>RAND()</f>
      </c>
    </row>
    <row r="29" spans="1:1" x14ac:dyDescent="0.25">
      <c r="A29">
        <f>RANDBETWEEN(5,10)</f>
      </c>
    </row>
    <row r="30" spans="1:1" x14ac:dyDescent="0.25">
      <c r="A30">
        <f>SIGN(-9)</f>
      </c>
    </row>
    <row r="31" spans="1:1" x14ac:dyDescent="0.25">
      <c r="A31">
        <f>TRUNC(-8.9)</f>
      </c>
    </row>
    <row r="32" spans="1:1" x14ac:dyDescent="0.25">
      <c r="A32">
        <f>LN(EXP(1))</f>
      </c>
    </row>
    <row r="33" spans="1:1" x14ac:dyDescent="0.25">
      <c r="A33">
        <f>LOG(8,2)</f>
      </c>
    </row>
    <row r="34" spans="1:1" x14ac:dyDescent="0.25">
      <c r="A34">
        <f>LOG10(1000)</f>
      </c>
    </row>
    <row r="35" spans="1:1" x14ac:dyDescent="0.25">
      <c r="A35">
        <f>EXP(0)</f>
      </c>
    </row>
    <row r="36" spans="1:1" x14ac:dyDescent="0.25">
      <c r="A36">
        <f>SUBTOTAL(9,Data!A1:A10)</f>
      </c>
    </row>
    <row r="37" spans="1:1" x14ac:dyDescent="0.25">
      <c r="A37">
        <f>_xlfn.AGGREGATE(9,6,Data!A1:A10)</f>
      </c>
    </row>
    <row r="38" spans="1:1" x14ac:dyDescent="0.25">
      <c r="A38">
        <f>MEDIAN(Data!B1:B10)</f>
      </c>
    </row>
    <row r="39" spans="1:1" x14ac:dyDescent="0.25">
      <c r="A39">
        <f>MODE(1,2,2,3,3,3)</f>
      </c>
    </row>
    <row r="40" spans="1:1" x14ac:dyDescent="0.25">
      <c r="A40">
        <f>LARGE(Data!B1:B10,2)</f>
      </c>
    </row>
    <row r="41" spans="1:1" x14ac:dyDescent="0.25">
      <c r="A41">
        <f>SMALL(Data!B1:B10,3)</f>
      </c>
    </row>
    <row r="42" spans="1:1" x14ac:dyDescent="0.25">
      <c r="A42">
        <f>RANK(30,Data!B1:B10)</f>
      </c>
    </row>
    <row r="43" spans="1:1" x14ac:dyDescent="0.25">
      <c r="A43">
        <f>STDEV(Data!A1:A10)</f>
      </c>
    </row>
    <row r="44" spans="1:1" x14ac:dyDescent="0.25">
      <c r="A44">
        <f>_xlfn.STDEV.S(Data!A1:A10)</f>
      </c>
    </row>
    <row r="45" spans="1:1" x14ac:dyDescent="0.25">
      <c r="A45">
        <f>VAR(Data!A1:A10)</f>
      </c>
    </row>
    <row r="46" spans="1:1" x14ac:dyDescent="0.25">
      <c r="A46">
        <f>_xlfn.VAR.S(Data!A1:A10)</f>
      </c>
    </row>
    <row r="47" spans="1:1" x14ac:dyDescent="0.25">
      <c r="A47">
        <f>PERCENTILE(Data!A1:A10,0.5)</f>
      </c>
    </row>
    <row r="48" spans="1:1" x14ac:dyDescent="0.25">
      <c r="A48">
        <f>QUARTILE(Data!A1:A10,1)</f>
      </c>
    </row>
    <row r="49" spans="1:1" x14ac:dyDescent="0.25">
      <c r="A49">
        <f>CORREL(Data!A1:A10,Data!B1:B10)</f>
      </c>
    </row>
    <row r="50" spans="1:1" x14ac:dyDescent="0.25">
      <c r="A50">
        <f>SLOPE(Data!B1:B10,Data!A1:A10)</f>
      </c>
    </row>
    <row r="51" spans="1:1" x14ac:dyDescent="0.25">
      <c r="A51">
        <f>INTERCEPT(Data!B1:B10,Data!A1:A10)</f>
      </c>
    </row>
    <row r="52" spans="1:1" x14ac:dyDescent="0.25">
      <c r="A52">
        <f>MROUND(10,3)</f>
      </c>
    </row>
    <row r="53" spans="1:1" x14ac:dyDescent="0.25">
      <c r="A53">
        <f>QUOTIENT(17,5)</f>
      </c>
    </row>
    <row r="54" spans="1:1" x14ac:dyDescent="0.25">
      <c r="A54">
        <f>GCD(12,18)</f>
      </c>
    </row>
    <row r="55" spans="1:1" x14ac:dyDescent="0.25">
      <c r="A55">
        <f>LCM(4,6)</f>
      </c>
    </row>
    <row r="56" spans="1:1" x14ac:dyDescent="0.25">
      <c r="A56">
        <f>FACT(5)</f>
      </c>
    </row>
    <row r="57" spans="1:1" x14ac:dyDescent="0.25">
      <c r="A57">
        <f>PI()</f>
      </c>
    </row>
    <row r="58" spans="1:1" x14ac:dyDescent="0.25">
      <c r="A58">
        <f>IF(Data!A1&gt;0,"pos","neg")</f>
      </c>
    </row>
    <row r="59" spans="1:1" x14ac:dyDescent="0.25">
      <c r="A59">
        <f>_xlfn.IFS(Data!A1&gt;5,"big",Data!A1&gt;0,"small")</f>
      </c>
    </row>
    <row r="60" spans="1:1" x14ac:dyDescent="0.25">
      <c r="A60">
        <f>IFERROR(1/0,"err")</f>
      </c>
    </row>
    <row r="61" spans="1:1" x14ac:dyDescent="0.25">
      <c r="A61">
        <f>_xlfn.IFNA(NA(),"na")</f>
      </c>
    </row>
    <row r="62" spans="1:1" x14ac:dyDescent="0.25">
      <c r="A62">
        <f>AND(TRUE,1&gt;0)</f>
      </c>
    </row>
    <row r="63" spans="1:1" x14ac:dyDescent="0.25">
      <c r="A63">
        <f>OR(FALSE,1&gt;2)</f>
      </c>
    </row>
    <row r="64" spans="1:1" x14ac:dyDescent="0.25">
      <c r="A64">
        <f>NOT(FALSE)</f>
      </c>
    </row>
    <row r="65" spans="1:1" x14ac:dyDescent="0.25">
      <c r="A65">
        <f>_xlfn.XOR(TRUE,TRUE)</f>
      </c>
    </row>
    <row r="66" spans="1:1" x14ac:dyDescent="0.25">
      <c r="A66">
        <f>TRUE()</f>
      </c>
    </row>
    <row r="67" spans="1:1" x14ac:dyDescent="0.25">
      <c r="A67">
        <f>FALSE()</f>
      </c>
    </row>
    <row r="68" spans="1:1" x14ac:dyDescent="0.25">
      <c r="A68">
        <f>_xlfn.SWITCH(2,1,"a",2,"b","z")</f>
      </c>
    </row>
    <row r="69" spans="1:1" x14ac:dyDescent="0.25">
      <c r="A69">
        <f>VLOOKUP(3,Data!A1:C10,3,FALSE)</f>
      </c>
    </row>
    <row r="70" spans="1:1" x14ac:dyDescent="0.25">
      <c r="A70">
        <f>HLOOKUP("y",Data!G1:I2,2,FALSE)</f>
      </c>
    </row>
    <row r="71" spans="1:1" x14ac:dyDescent="0.25">
      <c r="A71">
        <f>_xlfn.XLOOKUP("cherry",Data!C1:C10,Data!B1:B10)</f>
      </c>
    </row>
    <row r="72" spans="1:1" x14ac:dyDescent="0.25">
      <c r="A72">
        <f>LOOKUP(4.5,Data!A1:A10,Data!B1:B10)</f>
      </c>
    </row>
    <row r="73" spans="1:1" x14ac:dyDescent="0.25">
      <c r="A73">
        <f>INDEX(Data!B1:B10,4)</f>
      </c>
    </row>
    <row r="74" spans="1:1" x14ac:dyDescent="0.25">
      <c r="A74">
        <f>MATCH("cherry",Data!C1:C10,0)</f>
      </c>
    </row>
    <row r="75" spans="1:1" x14ac:dyDescent="0.25">
      <c r="A75">
        <f>_xlfn.XMATCH("banana",Data!C1:C10)</f>
      </c>
    </row>
    <row r="76" spans="1:1" x14ac:dyDescent="0.25">
      <c r="A76">
        <f>OFFSET(Data!A1,2,1)</f>
      </c>
    </row>
    <row r="77" spans="1:1" x14ac:dyDescent="0.25">
      <c r="A77">
        <f>INDIRECT("Data!B5")</f>
      </c>
    </row>
    <row r="78" spans="1:1" x14ac:dyDescent="0.25">
      <c r="A78">
        <f>CHOOSE(2,"a","b","c")</f>
      </c>
    </row>
    <row r="79" spans="1:1" x14ac:dyDescent="0.25">
      <c r="A79">
        <f>ROW(Data!B7)</f>
      </c>
    </row>
    <row r="80" spans="1:1" x14ac:dyDescent="0.25">
      <c r="A80">
        <f>ROWS(Data!A1:A10)</f>
      </c>
    </row>
    <row r="81" spans="1:1" x14ac:dyDescent="0.25">
      <c r="A81">
        <f>COLUMN(Data!C1)</f>
      </c>
    </row>
    <row r="82" spans="1:1" x14ac:dyDescent="0.25">
      <c r="A82">
        <f>COLUMNS(Data!A1:C1)</f>
      </c>
    </row>
    <row r="83" spans="1:1" x14ac:dyDescent="0.25">
      <c r="A83">
        <f>ADDRESS(2,3)</f>
      </c>
    </row>
    <row r="84" spans="1:1" x14ac:dyDescent="0.25">
      <c r="A84">
        <f>INDEX(TRANSPOSE(Data!A1:A3),1,2)</f>
      </c>
    </row>
    <row r="85" spans="1:1" x14ac:dyDescent="0.25">
      <c r="A85">
        <f>SUM(_xlfn._xlws.FILTER(Data!B1:B10,Data!A1:A10&gt;8))</f>
      </c>
    </row>
    <row r="86" spans="1:1" x14ac:dyDescent="0.25">
      <c r="A86">
        <f>INDEX(_xlfn._xlws.SORT(Data!A1:A10,1,-1),1)</f>
      </c>
    </row>
    <row r="87" spans="1:1" x14ac:dyDescent="0.25">
      <c r="A87">
        <f>ROWS(_xlfn._xlws.UNIQUE(Data!C1:C10))</f>
      </c>
    </row>
    <row r="88" spans="1:1" x14ac:dyDescent="0.25">
      <c r="A88">
        <f>SUM(_xlfn._xlws.SEQUENCE(4))</f>
      </c>
    </row>
    <row r="89" spans="1:1" x14ac:dyDescent="0.25">
      <c r="A89">
        <f>_xlfn.CONCAT("a","b","c")</f>
      </c>
    </row>
    <row r="90" spans="1:1" x14ac:dyDescent="0.25">
      <c r="A90">
        <f>CONCATENATE("x",1,"y")</f>
      </c>
    </row>
    <row r="91" spans="1:1" x14ac:dyDescent="0.25">
      <c r="A91">
        <f>_xlfn.TEXTJOIN(",",TRUE,Data!C1:C3)</f>
      </c>
    </row>
    <row r="92" spans="1:1" x14ac:dyDescent="0.25">
      <c r="A92">
        <f>LEFT("Excel",2)</f>
      </c>
    </row>
    <row r="93" spans="1:1" x14ac:dyDescent="0.25">
      <c r="A93">
        <f>RIGHT("Excel",3)</f>
      </c>
    </row>
    <row r="94" spans="1:1" x14ac:dyDescent="0.25">
      <c r="A94">
        <f>MID("Excel",2,3)</f>
      </c>
    </row>
    <row r="95" spans="1:1" x14ac:dyDescent="0.25">
      <c r="A95">
        <f>LEN("你好abc")</f>
      </c>
    </row>
    <row r="96" spans="1:1" x14ac:dyDescent="0.25">
      <c r="A96">
        <f>FIND("c","abcabc",4)</f>
      </c>
    </row>
    <row r="97" spans="1:1" x14ac:dyDescent="0.25">
      <c r="A97">
        <f>SEARCH("C","abcabc")</f>
      </c>
    </row>
    <row r="98" spans="1:1" x14ac:dyDescent="0.25">
      <c r="A98">
        <f>SUBSTITUTE("a-b-c","-","+")</f>
      </c>
    </row>
    <row r="99" spans="1:1" x14ac:dyDescent="0.25">
      <c r="A99">
        <f>REPLACE("abcdef",2,3,"X")</f>
      </c>
    </row>
    <row r="100" spans="1:1" x14ac:dyDescent="0.25">
      <c r="A100">
        <f>TRIM("  a   b  ")</f>
      </c>
    </row>
    <row r="101" spans="1:1" x14ac:dyDescent="0.25">
      <c r="A101">
        <f>UPPER("abC")</f>
      </c>
    </row>
    <row r="102" spans="1:1" x14ac:dyDescent="0.25">
      <c r="A102">
        <f>LOWER("AbC")</f>
      </c>
    </row>
    <row r="103" spans="1:1" x14ac:dyDescent="0.25">
      <c r="A103">
        <f>PROPER("hello wORLD")</f>
      </c>
    </row>
    <row r="104" spans="1:1" x14ac:dyDescent="0.25">
      <c r="A104">
        <f>TEXT(1234.567,"#,##0.00")</f>
      </c>
    </row>
    <row r="105" spans="1:1" x14ac:dyDescent="0.25">
      <c r="A105">
        <f>VALUE("12.5")</f>
      </c>
    </row>
    <row r="106" spans="1:1" x14ac:dyDescent="0.25">
      <c r="A106">
        <f>REPT("ab",3)</f>
      </c>
    </row>
    <row r="107" spans="1:1" x14ac:dyDescent="0.25">
      <c r="A107">
        <f>EXACT("a","A")</f>
      </c>
    </row>
    <row r="108" spans="1:1" x14ac:dyDescent="0.25">
      <c r="A108">
        <f>CLEAN("a"&amp;CHAR(7)&amp;"b")</f>
      </c>
    </row>
    <row r="109" spans="1:1" x14ac:dyDescent="0.25">
      <c r="A109">
        <f>CHAR(65)</f>
      </c>
    </row>
    <row r="110" spans="1:1" x14ac:dyDescent="0.25">
      <c r="A110">
        <f>CODE("A")</f>
      </c>
    </row>
    <row r="111" spans="1:1" x14ac:dyDescent="0.25">
      <c r="A111">
        <f>_xlfn.NUMBERVALUE("1.234,5",",",".")</f>
      </c>
    </row>
    <row r="112" spans="1:1" x14ac:dyDescent="0.25">
      <c r="A112">
        <f>FIXED(1234.567,1)</f>
      </c>
    </row>
    <row r="113" spans="1:1" x14ac:dyDescent="0.25">
      <c r="A113">
        <f>T("abc")</f>
      </c>
    </row>
    <row r="114" spans="1:1" x14ac:dyDescent="0.25">
      <c r="A114">
        <f>TODAY()</f>
      </c>
    </row>
    <row r="115" spans="1:1" x14ac:dyDescent="0.25">
      <c r="A115">
        <f>NOW()</f>
      </c>
    </row>
    <row r="116" spans="1:1" x14ac:dyDescent="0.25">
      <c r="A116">
        <f>DATE(2024,2,29)</f>
      </c>
    </row>
    <row r="117" spans="1:1" x14ac:dyDescent="0.25">
      <c r="A117">
        <f>YEAR(DATE(2024,2,29))</f>
      </c>
    </row>
    <row r="118" spans="1:1" x14ac:dyDescent="0.25">
      <c r="A118">
        <f>MONTH(DATE(2024,2,29))</f>
      </c>
    </row>
    <row r="119" spans="1:1" x14ac:dyDescent="0.25">
      <c r="A119">
        <f>DAY(DATE(2024,2,29))</f>
      </c>
    </row>
    <row r="120" spans="1:1" x14ac:dyDescent="0.25">
      <c r="A120">
        <f>HOUR(TIME(13,45,30))</f>
      </c>
    </row>
    <row r="121" spans="1:1" x14ac:dyDescent="0.25">
      <c r="A121">
        <f>MINUTE(TIME(13,45,30))</f>
      </c>
    </row>
    <row r="122" spans="1:1" x14ac:dyDescent="0.25">
      <c r="A122">
        <f>SECOND(TIME(13,45,30))</f>
      </c>
    </row>
    <row r="123" spans="1:1" x14ac:dyDescent="0.25">
      <c r="A123">
        <f>WEEKDAY(DATE(2024,2,29))</f>
      </c>
    </row>
    <row r="124" spans="1:1" x14ac:dyDescent="0.25">
      <c r="A124">
        <f>WEEKNUM(DATE(2024,2,29))</f>
      </c>
    </row>
    <row r="125" spans="1:1" x14ac:dyDescent="0.25">
      <c r="A125">
        <f>EDATE(DATE(2024,1,31),1)</f>
      </c>
    </row>
    <row r="126" spans="1:1" x14ac:dyDescent="0.25">
      <c r="A126">
        <f>EOMONTH(DATE(2024,1,15),1)</f>
      </c>
    </row>
    <row r="127" spans="1:1" x14ac:dyDescent="0.25">
      <c r="A127">
        <f>DATEDIF(DATE(2024,1,1),DATE(2024,3,15),"m")</f>
      </c>
    </row>
    <row r="128" spans="1:1" x14ac:dyDescent="0.25">
      <c r="A128">
        <f>_xlfn.DAYS(DATE(2024,3,1),DATE(2024,2,1))</f>
      </c>
    </row>
    <row r="129" spans="1:1" x14ac:dyDescent="0.25">
      <c r="A129">
        <f>NETWORKDAYS(DATE(2024,1,1),DATE(2024,1,7))</f>
      </c>
    </row>
    <row r="130" spans="1:1" x14ac:dyDescent="0.25">
      <c r="A130">
        <f>WORKDAY(DATE(2024,1,5),1)</f>
      </c>
    </row>
    <row r="131" spans="1:1" x14ac:dyDescent="0.25">
      <c r="A131">
        <f>TIME(12,0,0)</f>
      </c>
    </row>
    <row r="132" spans="1:1" x14ac:dyDescent="0.25">
      <c r="A132">
        <f>DATEVALUE("2024-02-29")</f>
      </c>
    </row>
    <row r="133" spans="1:1" x14ac:dyDescent="0.25">
      <c r="A133">
        <f>TIMEVALUE("06:00")</f>
      </c>
    </row>
    <row r="134" spans="1:1" x14ac:dyDescent="0.25">
      <c r="A134">
        <f>YEARFRAC(DATE(2024,1,1),DATE(2024,7,1))</f>
      </c>
    </row>
    <row r="135" spans="1:1" x14ac:dyDescent="0.25">
      <c r="A135">
        <f>ISNUMBER(Data!A1)</f>
      </c>
    </row>
    <row r="136" spans="1:1" x14ac:dyDescent="0.25">
      <c r="A136">
        <f>ISTEXT(Data!C1)</f>
      </c>
    </row>
    <row r="137" spans="1:1" x14ac:dyDescent="0.25">
      <c r="A137">
        <f>ISBLANK(Data!Z99)</f>
      </c>
    </row>
    <row r="138" spans="1:1" x14ac:dyDescent="0.25">
      <c r="A138">
        <f>ISERROR(1/0)</f>
      </c>
    </row>
    <row r="139" spans="1:1" x14ac:dyDescent="0.25">
      <c r="A139">
        <f>ISERR(NA())</f>
      </c>
    </row>
    <row r="140" spans="1:1" x14ac:dyDescent="0.25">
      <c r="A140">
        <f>ISNA(NA())</f>
      </c>
    </row>
    <row r="141" spans="1:1" x14ac:dyDescent="0.25">
      <c r="A141">
        <f>ISLOGICAL(TRUE)</f>
      </c>
    </row>
    <row r="142" spans="1:1" x14ac:dyDescent="0.25">
      <c r="A142">
        <f>ISEVEN(4)</f>
      </c>
    </row>
    <row r="143" spans="1:1" x14ac:dyDescent="0.25">
      <c r="A143">
        <f>ISODD(4)</f>
      </c>
    </row>
    <row r="144" spans="1:1" x14ac:dyDescent="0.25">
      <c r="A144">
        <f>N(TRUE)</f>
      </c>
    </row>
    <row r="145" spans="1:1" x14ac:dyDescent="0.25">
      <c r="A145">
        <f>NA()</f>
      </c>
    </row>
    <row r="146" spans="1:1" x14ac:dyDescent="0.25">
      <c r="A146">
        <f>PMT(0.05/12,60,-10000)</f>
      </c>
    </row>
    <row r="147" spans="1:1" x14ac:dyDescent="0.25">
      <c r="A147">
        <f>FV(0.05,10,-100)</f>
      </c>
    </row>
    <row r="148" spans="1:1" x14ac:dyDescent="0.25">
      <c r="A148">
        <f>PV(0.05,10,-100)</f>
      </c>
    </row>
    <row r="149" spans="1:1" x14ac:dyDescent="0.25">
      <c r="A149">
        <f>NPV(0.1,100,100,100)</f>
      </c>
    </row>
    <row r="150" spans="1:1" x14ac:dyDescent="0.25">
      <c r="A150">
        <f>IRR(Data!K1:K3)</f>
      </c>
    </row>
    <row r="151" spans="1:1" x14ac:dyDescent="0.25">
      <c r="A151">
        <f>1/0</f>
      </c>
    </row>
    <row r="152" spans="1:1" x14ac:dyDescent="0.25">
      <c r="A152">
        <f>VALUE("abc")</f>
      </c>
    </row>
    <row r="153" spans="1:1" x14ac:dyDescent="0.25">
      <c r="A153">
        <f>NOSUCHFUNCTION(1)</f>
      </c>
    </row>
    <row r="154" spans="1:1" x14ac:dyDescent="0.25">
      <c r="A154">
        <f>Data!A1+Missing!A1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2026-09-29T05:46:28Z</dcterms:created>
  <dcterms:modified xsi:type="dcterms:W3CDTF">2026-09-29T05:46:28Z</dcterms:modified>
</cp:coreProperties>
</file>